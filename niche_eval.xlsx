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評価表" sheetId="1" state="visible" r:id="rId1"/>
    <sheet name="使い方" sheetId="2" state="visible" r:id="rId2"/>
    <sheet name="設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20" customWidth="1" min="4" max="4"/>
    <col width="38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 ht="48" customHeight="1">
      <c r="A1" s="1" t="inlineStr">
        <is>
          <t>ID</t>
        </is>
      </c>
      <c r="B1" s="1" t="inlineStr">
        <is>
          <t>ニッチ名</t>
        </is>
      </c>
      <c r="C1" s="1" t="inlineStr">
        <is>
          <t>誰/状態</t>
        </is>
      </c>
      <c r="D1" s="1" t="inlineStr">
        <is>
          <t>題材・所作</t>
        </is>
      </c>
      <c r="E1" s="1" t="inlineStr">
        <is>
          <t>英語検索キーワード案(仮説)</t>
        </is>
      </c>
      <c r="F1" s="1" t="inlineStr">
        <is>
          <t>独自性・日本人優位(1-5)
※Claude仮説</t>
        </is>
      </c>
      <c r="G1" s="1" t="inlineStr">
        <is>
          <t>A 上位10冊平均レビュー数</t>
        </is>
      </c>
      <c r="H1" s="1" t="inlineStr">
        <is>
          <t>B レビュー100件未満の冊数</t>
        </is>
      </c>
      <c r="I1" s="1" t="inlineStr">
        <is>
          <t>C 上位3冊平均BSR</t>
        </is>
      </c>
      <c r="J1" s="1" t="inlineStr">
        <is>
          <t>D 量産・汎用感(1-5)</t>
        </is>
      </c>
      <c r="K1" s="1" t="inlineStr">
        <is>
          <t>競合の弱さ(5点満点)</t>
        </is>
      </c>
      <c r="L1" s="1" t="inlineStr">
        <is>
          <t>需要(5点満点)</t>
        </is>
      </c>
      <c r="M1" s="1" t="inlineStr">
        <is>
          <t>総合(5点満点)</t>
        </is>
      </c>
      <c r="N1" s="1" t="inlineStr">
        <is>
          <t>判定</t>
        </is>
      </c>
      <c r="O1" s="1" t="inlineStr">
        <is>
          <t>メモ</t>
        </is>
      </c>
    </row>
    <row r="2">
      <c r="A2" s="2" t="inlineStr">
        <is>
          <t>N01</t>
        </is>
      </c>
      <c r="B2" s="2" t="inlineStr">
        <is>
          <t>夜勤明けの看護師向け</t>
        </is>
      </c>
      <c r="C2" s="2" t="inlineStr">
        <is>
          <t>夜勤明け・不眠</t>
        </is>
      </c>
      <c r="D2" s="2" t="inlineStr">
        <is>
          <t>月と植物の太線図</t>
        </is>
      </c>
      <c r="E2" s="2" t="inlineStr">
        <is>
          <t>night shift nurse coloring book stress relief</t>
        </is>
      </c>
      <c r="F2" s="3" t="n">
        <v>3</v>
      </c>
      <c r="G2" s="4" t="n"/>
      <c r="H2" s="4" t="n"/>
      <c r="I2" s="5" t="n"/>
      <c r="J2" s="4" t="n"/>
      <c r="K2" s="6">
        <f>IF(COUNT(G2:H2,J2)&lt;3,"",AVERAGE(IF(G2&lt;=設定!$B$2,5,IF(G2&lt;=設定!$B$3,4,IF(G2&lt;=設定!$B$4,3,IF(G2&lt;=設定!$B$5,2,1)))),MIN(5,H2/2),6-J2))</f>
        <v/>
      </c>
      <c r="L2" s="6">
        <f>IF(I2="","",IF(I2&lt;=設定!$B$6,5,IF(I2&lt;=設定!$B$7,3,1)))</f>
        <v/>
      </c>
      <c r="M2" s="6">
        <f>IF(OR(K2="",L2=""),"",K2*設定!$B$8+L2*設定!$B$9+F2*設定!$B$10)</f>
        <v/>
      </c>
      <c r="N2" s="7">
        <f>IF(M2="","未調査",IF(M2&gt;=設定!$B$11,"有望","見送り"))</f>
        <v/>
      </c>
      <c r="O2" s="4" t="n"/>
    </row>
    <row r="3">
      <c r="A3" s="2" t="inlineStr">
        <is>
          <t>N02</t>
        </is>
      </c>
      <c r="B3" s="2" t="inlineStr">
        <is>
          <t>柴犬・秋田犬オーナー</t>
        </is>
      </c>
      <c r="C3" s="2" t="inlineStr">
        <is>
          <t>犬種特化</t>
        </is>
      </c>
      <c r="D3" s="2" t="inlineStr">
        <is>
          <t>日本犬の太線・低負荷</t>
        </is>
      </c>
      <c r="E3" s="2" t="inlineStr">
        <is>
          <t>shiba inu coloring book for adults</t>
        </is>
      </c>
      <c r="F3" s="3" t="n">
        <v>4</v>
      </c>
      <c r="G3" s="4" t="n"/>
      <c r="H3" s="4" t="n"/>
      <c r="I3" s="5" t="n"/>
      <c r="J3" s="4" t="n"/>
      <c r="K3" s="6">
        <f>IF(COUNT(G3:H3,J3)&lt;3,"",AVERAGE(IF(G3&lt;=設定!$B$2,5,IF(G3&lt;=設定!$B$3,4,IF(G3&lt;=設定!$B$4,3,IF(G3&lt;=設定!$B$5,2,1)))),MIN(5,H3/2),6-J3))</f>
        <v/>
      </c>
      <c r="L3" s="6">
        <f>IF(I3="","",IF(I3&lt;=設定!$B$6,5,IF(I3&lt;=設定!$B$7,3,1)))</f>
        <v/>
      </c>
      <c r="M3" s="6">
        <f>IF(OR(K3="",L3=""),"",K3*設定!$B$8+L3*設定!$B$9+F3*設定!$B$10)</f>
        <v/>
      </c>
      <c r="N3" s="7">
        <f>IF(M3="","未調査",IF(M3&gt;=設定!$B$11,"有望","見送り"))</f>
        <v/>
      </c>
      <c r="O3" s="4" t="n"/>
    </row>
    <row r="4">
      <c r="A4" s="2" t="inlineStr">
        <is>
          <t>N03</t>
        </is>
      </c>
      <c r="B4" s="2" t="inlineStr">
        <is>
          <t>七五三・日本の年中行事</t>
        </is>
      </c>
      <c r="C4" s="2" t="inlineStr">
        <is>
          <t>英語圏で薄い祝祭</t>
        </is>
      </c>
      <c r="D4" s="2" t="inlineStr">
        <is>
          <t>着物・千歳飴・神社</t>
        </is>
      </c>
      <c r="E4" s="2" t="inlineStr">
        <is>
          <t>japanese festivals coloring book adults</t>
        </is>
      </c>
      <c r="F4" s="3" t="n">
        <v>5</v>
      </c>
      <c r="G4" s="4" t="n"/>
      <c r="H4" s="4" t="n"/>
      <c r="I4" s="5" t="n"/>
      <c r="J4" s="4" t="n"/>
      <c r="K4" s="6">
        <f>IF(COUNT(G4:H4,J4)&lt;3,"",AVERAGE(IF(G4&lt;=設定!$B$2,5,IF(G4&lt;=設定!$B$3,4,IF(G4&lt;=設定!$B$4,3,IF(G4&lt;=設定!$B$5,2,1)))),MIN(5,H4/2),6-J4))</f>
        <v/>
      </c>
      <c r="L4" s="6">
        <f>IF(I4="","",IF(I4&lt;=設定!$B$6,5,IF(I4&lt;=設定!$B$7,3,1)))</f>
        <v/>
      </c>
      <c r="M4" s="6">
        <f>IF(OR(K4="",L4=""),"",K4*設定!$B$8+L4*設定!$B$9+F4*設定!$B$10)</f>
        <v/>
      </c>
      <c r="N4" s="7">
        <f>IF(M4="","未調査",IF(M4&gt;=設定!$B$11,"有望","見送り"))</f>
        <v/>
      </c>
      <c r="O4" s="4" t="n"/>
    </row>
    <row r="5">
      <c r="A5" s="2" t="inlineStr">
        <is>
          <t>N04</t>
        </is>
      </c>
      <c r="B5" s="2" t="inlineStr">
        <is>
          <t>お月見・十五夜</t>
        </is>
      </c>
      <c r="C5" s="2" t="inlineStr">
        <is>
          <t>季節マイクロニッチ</t>
        </is>
      </c>
      <c r="D5" s="2" t="inlineStr">
        <is>
          <t>団子・すすき・うさぎ</t>
        </is>
      </c>
      <c r="E5" s="2" t="inlineStr">
        <is>
          <t>moon viewing coloring book</t>
        </is>
      </c>
      <c r="F5" s="3" t="n">
        <v>5</v>
      </c>
      <c r="G5" s="4" t="n"/>
      <c r="H5" s="4" t="n"/>
      <c r="I5" s="5" t="n"/>
      <c r="J5" s="4" t="n"/>
      <c r="K5" s="6">
        <f>IF(COUNT(G5:H5,J5)&lt;3,"",AVERAGE(IF(G5&lt;=設定!$B$2,5,IF(G5&lt;=設定!$B$3,4,IF(G5&lt;=設定!$B$4,3,IF(G5&lt;=設定!$B$5,2,1)))),MIN(5,H5/2),6-J5))</f>
        <v/>
      </c>
      <c r="L5" s="6">
        <f>IF(I5="","",IF(I5&lt;=設定!$B$6,5,IF(I5&lt;=設定!$B$7,3,1)))</f>
        <v/>
      </c>
      <c r="M5" s="6">
        <f>IF(OR(K5="",L5=""),"",K5*設定!$B$8+L5*設定!$B$9+F5*設定!$B$10)</f>
        <v/>
      </c>
      <c r="N5" s="7">
        <f>IF(M5="","未調査",IF(M5&gt;=設定!$B$11,"有望","見送り"))</f>
        <v/>
      </c>
      <c r="O5" s="4" t="n"/>
    </row>
    <row r="6">
      <c r="A6" s="2" t="inlineStr">
        <is>
          <t>N05</t>
        </is>
      </c>
      <c r="B6" s="2" t="inlineStr">
        <is>
          <t>純喫茶・日本の喫茶店</t>
        </is>
      </c>
      <c r="C6" s="2" t="inlineStr">
        <is>
          <t>cozy系</t>
        </is>
      </c>
      <c r="D6" s="2" t="inlineStr">
        <is>
          <t>レトロな店内・道具</t>
        </is>
      </c>
      <c r="E6" s="2" t="inlineStr">
        <is>
          <t>japanese cafe cozy coloring book</t>
        </is>
      </c>
      <c r="F6" s="3" t="n">
        <v>5</v>
      </c>
      <c r="G6" s="4" t="n"/>
      <c r="H6" s="4" t="n"/>
      <c r="I6" s="5" t="n"/>
      <c r="J6" s="4" t="n"/>
      <c r="K6" s="6">
        <f>IF(COUNT(G6:H6,J6)&lt;3,"",AVERAGE(IF(G6&lt;=設定!$B$2,5,IF(G6&lt;=設定!$B$3,4,IF(G6&lt;=設定!$B$4,3,IF(G6&lt;=設定!$B$5,2,1)))),MIN(5,H6/2),6-J6))</f>
        <v/>
      </c>
      <c r="L6" s="6">
        <f>IF(I6="","",IF(I6&lt;=設定!$B$6,5,IF(I6&lt;=設定!$B$7,3,1)))</f>
        <v/>
      </c>
      <c r="M6" s="6">
        <f>IF(OR(K6="",L6=""),"",K6*設定!$B$8+L6*設定!$B$9+F6*設定!$B$10)</f>
        <v/>
      </c>
      <c r="N6" s="7">
        <f>IF(M6="","未調査",IF(M6&gt;=設定!$B$11,"有望","見送り"))</f>
        <v/>
      </c>
      <c r="O6" s="4" t="n"/>
    </row>
    <row r="7">
      <c r="A7" s="2" t="inlineStr">
        <is>
          <t>N06</t>
        </is>
      </c>
      <c r="B7" s="2" t="inlineStr">
        <is>
          <t>銭湯・日本の風呂</t>
        </is>
      </c>
      <c r="C7" s="2" t="inlineStr">
        <is>
          <t>cozy系</t>
        </is>
      </c>
      <c r="D7" s="2" t="inlineStr">
        <is>
          <t>番台・桶・富士山の壁絵</t>
        </is>
      </c>
      <c r="E7" s="2" t="inlineStr">
        <is>
          <t>japanese bathhouse sento coloring book</t>
        </is>
      </c>
      <c r="F7" s="3" t="n">
        <v>5</v>
      </c>
      <c r="G7" s="4" t="n"/>
      <c r="H7" s="4" t="n"/>
      <c r="I7" s="5" t="n"/>
      <c r="J7" s="4" t="n"/>
      <c r="K7" s="6">
        <f>IF(COUNT(G7:H7,J7)&lt;3,"",AVERAGE(IF(G7&lt;=設定!$B$2,5,IF(G7&lt;=設定!$B$3,4,IF(G7&lt;=設定!$B$4,3,IF(G7&lt;=設定!$B$5,2,1)))),MIN(5,H7/2),6-J7))</f>
        <v/>
      </c>
      <c r="L7" s="6">
        <f>IF(I7="","",IF(I7&lt;=設定!$B$6,5,IF(I7&lt;=設定!$B$7,3,1)))</f>
        <v/>
      </c>
      <c r="M7" s="6">
        <f>IF(OR(K7="",L7=""),"",K7*設定!$B$8+L7*設定!$B$9+F7*設定!$B$10)</f>
        <v/>
      </c>
      <c r="N7" s="7">
        <f>IF(M7="","未調査",IF(M7&gt;=設定!$B$11,"有望","見送り"))</f>
        <v/>
      </c>
      <c r="O7" s="4" t="n"/>
    </row>
    <row r="8">
      <c r="A8" s="2" t="inlineStr">
        <is>
          <t>N07</t>
        </is>
      </c>
      <c r="B8" s="2" t="inlineStr">
        <is>
          <t>日本のコンビニ・お菓子</t>
        </is>
      </c>
      <c r="C8" s="2" t="inlineStr">
        <is>
          <t>小さな幸福の場面</t>
        </is>
      </c>
      <c r="D8" s="2" t="inlineStr">
        <is>
          <t>おにぎり・棚・文房具</t>
        </is>
      </c>
      <c r="E8" s="2" t="inlineStr">
        <is>
          <t>japanese snacks convenience store coloring book</t>
        </is>
      </c>
      <c r="F8" s="3" t="n">
        <v>4</v>
      </c>
      <c r="G8" s="4" t="n"/>
      <c r="H8" s="4" t="n"/>
      <c r="I8" s="5" t="n"/>
      <c r="J8" s="4" t="n"/>
      <c r="K8" s="6">
        <f>IF(COUNT(G8:H8,J8)&lt;3,"",AVERAGE(IF(G8&lt;=設定!$B$2,5,IF(G8&lt;=設定!$B$3,4,IF(G8&lt;=設定!$B$4,3,IF(G8&lt;=設定!$B$5,2,1)))),MIN(5,H8/2),6-J8))</f>
        <v/>
      </c>
      <c r="L8" s="6">
        <f>IF(I8="","",IF(I8&lt;=設定!$B$6,5,IF(I8&lt;=設定!$B$7,3,1)))</f>
        <v/>
      </c>
      <c r="M8" s="6">
        <f>IF(OR(K8="",L8=""),"",K8*設定!$B$8+L8*設定!$B$9+F8*設定!$B$10)</f>
        <v/>
      </c>
      <c r="N8" s="7">
        <f>IF(M8="","未調査",IF(M8&gt;=設定!$B$11,"有望","見送り"))</f>
        <v/>
      </c>
      <c r="O8" s="4" t="n"/>
    </row>
    <row r="9">
      <c r="A9" s="2" t="inlineStr">
        <is>
          <t>N08</t>
        </is>
      </c>
      <c r="B9" s="2" t="inlineStr">
        <is>
          <t>和菓子と猫</t>
        </is>
      </c>
      <c r="C9" s="2" t="inlineStr">
        <is>
          <t>かわいい×文化</t>
        </is>
      </c>
      <c r="D9" s="2" t="inlineStr">
        <is>
          <t>季節の和菓子</t>
        </is>
      </c>
      <c r="E9" s="2" t="inlineStr">
        <is>
          <t>wagashi coloring book</t>
        </is>
      </c>
      <c r="F9" s="3" t="n">
        <v>5</v>
      </c>
      <c r="G9" s="4" t="n"/>
      <c r="H9" s="4" t="n"/>
      <c r="I9" s="5" t="n"/>
      <c r="J9" s="4" t="n"/>
      <c r="K9" s="6">
        <f>IF(COUNT(G9:H9,J9)&lt;3,"",AVERAGE(IF(G9&lt;=設定!$B$2,5,IF(G9&lt;=設定!$B$3,4,IF(G9&lt;=設定!$B$4,3,IF(G9&lt;=設定!$B$5,2,1)))),MIN(5,H9/2),6-J9))</f>
        <v/>
      </c>
      <c r="L9" s="6">
        <f>IF(I9="","",IF(I9&lt;=設定!$B$6,5,IF(I9&lt;=設定!$B$7,3,1)))</f>
        <v/>
      </c>
      <c r="M9" s="6">
        <f>IF(OR(K9="",L9=""),"",K9*設定!$B$8+L9*設定!$B$9+F9*設定!$B$10)</f>
        <v/>
      </c>
      <c r="N9" s="7">
        <f>IF(M9="","未調査",IF(M9&gt;=設定!$B$11,"有望","見送り"))</f>
        <v/>
      </c>
      <c r="O9" s="4" t="n"/>
    </row>
    <row r="10">
      <c r="A10" s="2" t="inlineStr">
        <is>
          <t>N09</t>
        </is>
      </c>
      <c r="B10" s="2" t="inlineStr">
        <is>
          <t>駅弁・日本の旅</t>
        </is>
      </c>
      <c r="C10" s="2" t="inlineStr">
        <is>
          <t>旅好き</t>
        </is>
      </c>
      <c r="D10" s="2" t="inlineStr">
        <is>
          <t>駅弁・車窓</t>
        </is>
      </c>
      <c r="E10" s="2" t="inlineStr">
        <is>
          <t>japan train travel coloring book</t>
        </is>
      </c>
      <c r="F10" s="3" t="n">
        <v>4</v>
      </c>
      <c r="G10" s="4" t="n"/>
      <c r="H10" s="4" t="n"/>
      <c r="I10" s="5" t="n"/>
      <c r="J10" s="4" t="n"/>
      <c r="K10" s="6">
        <f>IF(COUNT(G10:H10,J10)&lt;3,"",AVERAGE(IF(G10&lt;=設定!$B$2,5,IF(G10&lt;=設定!$B$3,4,IF(G10&lt;=設定!$B$4,3,IF(G10&lt;=設定!$B$5,2,1)))),MIN(5,H10/2),6-J10))</f>
        <v/>
      </c>
      <c r="L10" s="6">
        <f>IF(I10="","",IF(I10&lt;=設定!$B$6,5,IF(I10&lt;=設定!$B$7,3,1)))</f>
        <v/>
      </c>
      <c r="M10" s="6">
        <f>IF(OR(K10="",L10=""),"",K10*設定!$B$8+L10*設定!$B$9+F10*設定!$B$10)</f>
        <v/>
      </c>
      <c r="N10" s="7">
        <f>IF(M10="","未調査",IF(M10&gt;=設定!$B$11,"有望","見送り"))</f>
        <v/>
      </c>
      <c r="O10" s="4" t="n"/>
    </row>
    <row r="11">
      <c r="A11" s="2" t="inlineStr">
        <is>
          <t>N10</t>
        </is>
      </c>
      <c r="B11" s="2" t="inlineStr">
        <is>
          <t>和柄(麻の葉・青海波)×不安緩和</t>
        </is>
      </c>
      <c r="C11" s="2" t="inlineStr">
        <is>
          <t>不安の形</t>
        </is>
      </c>
      <c r="D11" s="2" t="inlineStr">
        <is>
          <t>パターンを少ない面で</t>
        </is>
      </c>
      <c r="E11" s="2" t="inlineStr">
        <is>
          <t>japanese pattern coloring book anxiety relief</t>
        </is>
      </c>
      <c r="F11" s="3" t="n">
        <v>4</v>
      </c>
      <c r="G11" s="4" t="n"/>
      <c r="H11" s="4" t="n"/>
      <c r="I11" s="5" t="n"/>
      <c r="J11" s="4" t="n"/>
      <c r="K11" s="6">
        <f>IF(COUNT(G11:H11,J11)&lt;3,"",AVERAGE(IF(G11&lt;=設定!$B$2,5,IF(G11&lt;=設定!$B$3,4,IF(G11&lt;=設定!$B$4,3,IF(G11&lt;=設定!$B$5,2,1)))),MIN(5,H11/2),6-J11))</f>
        <v/>
      </c>
      <c r="L11" s="6">
        <f>IF(I11="","",IF(I11&lt;=設定!$B$6,5,IF(I11&lt;=設定!$B$7,3,1)))</f>
        <v/>
      </c>
      <c r="M11" s="6">
        <f>IF(OR(K11="",L11=""),"",K11*設定!$B$8+L11*設定!$B$9+F11*設定!$B$10)</f>
        <v/>
      </c>
      <c r="N11" s="7">
        <f>IF(M11="","未調査",IF(M11&gt;=設定!$B$11,"有望","見送り"))</f>
        <v/>
      </c>
      <c r="O11" s="4" t="n"/>
    </row>
    <row r="12">
      <c r="A12" s="2" t="inlineStr">
        <is>
          <t>N11</t>
        </is>
      </c>
      <c r="B12" s="2" t="inlineStr">
        <is>
          <t>神社・お守り・鳥居</t>
        </is>
      </c>
      <c r="C12" s="2" t="inlineStr">
        <is>
          <t>スピリチュアル</t>
        </is>
      </c>
      <c r="D12" s="2" t="inlineStr">
        <is>
          <t>参道・お守り・絵馬</t>
        </is>
      </c>
      <c r="E12" s="2" t="inlineStr">
        <is>
          <t>shrine torii coloring book</t>
        </is>
      </c>
      <c r="F12" s="3" t="n">
        <v>5</v>
      </c>
      <c r="G12" s="4" t="n"/>
      <c r="H12" s="4" t="n"/>
      <c r="I12" s="5" t="n"/>
      <c r="J12" s="4" t="n"/>
      <c r="K12" s="6">
        <f>IF(COUNT(G12:H12,J12)&lt;3,"",AVERAGE(IF(G12&lt;=設定!$B$2,5,IF(G12&lt;=設定!$B$3,4,IF(G12&lt;=設定!$B$4,3,IF(G12&lt;=設定!$B$5,2,1)))),MIN(5,H12/2),6-J12))</f>
        <v/>
      </c>
      <c r="L12" s="6">
        <f>IF(I12="","",IF(I12&lt;=設定!$B$6,5,IF(I12&lt;=設定!$B$7,3,1)))</f>
        <v/>
      </c>
      <c r="M12" s="6">
        <f>IF(OR(K12="",L12=""),"",K12*設定!$B$8+L12*設定!$B$9+F12*設定!$B$10)</f>
        <v/>
      </c>
      <c r="N12" s="7">
        <f>IF(M12="","未調査",IF(M12&gt;=設定!$B$11,"有望","見送り"))</f>
        <v/>
      </c>
      <c r="O12" s="4" t="n"/>
    </row>
    <row r="13">
      <c r="A13" s="2" t="inlineStr">
        <is>
          <t>N12</t>
        </is>
      </c>
      <c r="B13" s="2" t="inlineStr">
        <is>
          <t>商店街・路地裏</t>
        </is>
      </c>
      <c r="C13" s="2" t="inlineStr">
        <is>
          <t>cozy系</t>
        </is>
      </c>
      <c r="D13" s="2" t="inlineStr">
        <is>
          <t>実在の店先・看板</t>
        </is>
      </c>
      <c r="E13" s="2" t="inlineStr">
        <is>
          <t>japanese street shopfront coloring book</t>
        </is>
      </c>
      <c r="F13" s="3" t="n">
        <v>4</v>
      </c>
      <c r="G13" s="4" t="n"/>
      <c r="H13" s="4" t="n"/>
      <c r="I13" s="5" t="n"/>
      <c r="J13" s="4" t="n"/>
      <c r="K13" s="6">
        <f>IF(COUNT(G13:H13,J13)&lt;3,"",AVERAGE(IF(G13&lt;=設定!$B$2,5,IF(G13&lt;=設定!$B$3,4,IF(G13&lt;=設定!$B$4,3,IF(G13&lt;=設定!$B$5,2,1)))),MIN(5,H13/2),6-J13))</f>
        <v/>
      </c>
      <c r="L13" s="6">
        <f>IF(I13="","",IF(I13&lt;=設定!$B$6,5,IF(I13&lt;=設定!$B$7,3,1)))</f>
        <v/>
      </c>
      <c r="M13" s="6">
        <f>IF(OR(K13="",L13=""),"",K13*設定!$B$8+L13*設定!$B$9+F13*設定!$B$10)</f>
        <v/>
      </c>
      <c r="N13" s="7">
        <f>IF(M13="","未調査",IF(M13&gt;=設定!$B$11,"有望","見送り"))</f>
        <v/>
      </c>
      <c r="O13" s="4" t="n"/>
    </row>
    <row r="14">
      <c r="A14" s="2" t="inlineStr">
        <is>
          <t>N13</t>
        </is>
      </c>
      <c r="B14" s="2" t="inlineStr">
        <is>
          <t>盆栽・侘び寂び</t>
        </is>
      </c>
      <c r="C14" s="2" t="inlineStr">
        <is>
          <t>シニア・静けさ</t>
        </is>
      </c>
      <c r="D14" s="2" t="inlineStr">
        <is>
          <t>盆栽・石庭</t>
        </is>
      </c>
      <c r="E14" s="2" t="inlineStr">
        <is>
          <t>bonsai coloring book seniors</t>
        </is>
      </c>
      <c r="F14" s="3" t="n">
        <v>4</v>
      </c>
      <c r="G14" s="4" t="n"/>
      <c r="H14" s="4" t="n"/>
      <c r="I14" s="5" t="n"/>
      <c r="J14" s="4" t="n"/>
      <c r="K14" s="6">
        <f>IF(COUNT(G14:H14,J14)&lt;3,"",AVERAGE(IF(G14&lt;=設定!$B$2,5,IF(G14&lt;=設定!$B$3,4,IF(G14&lt;=設定!$B$4,3,IF(G14&lt;=設定!$B$5,2,1)))),MIN(5,H14/2),6-J14))</f>
        <v/>
      </c>
      <c r="L14" s="6">
        <f>IF(I14="","",IF(I14&lt;=設定!$B$6,5,IF(I14&lt;=設定!$B$7,3,1)))</f>
        <v/>
      </c>
      <c r="M14" s="6">
        <f>IF(OR(K14="",L14=""),"",K14*設定!$B$8+L14*設定!$B$9+F14*設定!$B$10)</f>
        <v/>
      </c>
      <c r="N14" s="7">
        <f>IF(M14="","未調査",IF(M14&gt;=設定!$B$11,"有望","見送り"))</f>
        <v/>
      </c>
      <c r="O14" s="4" t="n"/>
    </row>
    <row r="15">
      <c r="A15" s="2" t="inlineStr">
        <is>
          <t>N14</t>
        </is>
      </c>
      <c r="B15" s="2" t="inlineStr">
        <is>
          <t>折り鶴・折り紙</t>
        </is>
      </c>
      <c r="C15" s="2" t="inlineStr">
        <is>
          <t>手仕事</t>
        </is>
      </c>
      <c r="D15" s="2" t="inlineStr">
        <is>
          <t>折り紙×塗り面</t>
        </is>
      </c>
      <c r="E15" s="2" t="inlineStr">
        <is>
          <t>origami crane coloring book</t>
        </is>
      </c>
      <c r="F15" s="3" t="n">
        <v>4</v>
      </c>
      <c r="G15" s="4" t="n"/>
      <c r="H15" s="4" t="n"/>
      <c r="I15" s="5" t="n"/>
      <c r="J15" s="4" t="n"/>
      <c r="K15" s="6">
        <f>IF(COUNT(G15:H15,J15)&lt;3,"",AVERAGE(IF(G15&lt;=設定!$B$2,5,IF(G15&lt;=設定!$B$3,4,IF(G15&lt;=設定!$B$4,3,IF(G15&lt;=設定!$B$5,2,1)))),MIN(5,H15/2),6-J15))</f>
        <v/>
      </c>
      <c r="L15" s="6">
        <f>IF(I15="","",IF(I15&lt;=設定!$B$6,5,IF(I15&lt;=設定!$B$7,3,1)))</f>
        <v/>
      </c>
      <c r="M15" s="6">
        <f>IF(OR(K15="",L15=""),"",K15*設定!$B$8+L15*設定!$B$9+F15*設定!$B$10)</f>
        <v/>
      </c>
      <c r="N15" s="7">
        <f>IF(M15="","未調査",IF(M15&gt;=設定!$B$11,"有望","見送り"))</f>
        <v/>
      </c>
      <c r="O15" s="4" t="n"/>
    </row>
    <row r="16">
      <c r="A16" s="2" t="inlineStr">
        <is>
          <t>N15</t>
        </is>
      </c>
      <c r="B16" s="2" t="inlineStr">
        <is>
          <t>古民家・縁側・田舎暮らし</t>
        </is>
      </c>
      <c r="C16" s="2" t="inlineStr">
        <is>
          <t>cozy系</t>
        </is>
      </c>
      <c r="D16" s="2" t="inlineStr">
        <is>
          <t>縁側・囲炉裏・畑</t>
        </is>
      </c>
      <c r="E16" s="2" t="inlineStr">
        <is>
          <t>japanese countryside cottage coloring book</t>
        </is>
      </c>
      <c r="F16" s="3" t="n">
        <v>5</v>
      </c>
      <c r="G16" s="4" t="n"/>
      <c r="H16" s="4" t="n"/>
      <c r="I16" s="5" t="n"/>
      <c r="J16" s="4" t="n"/>
      <c r="K16" s="6">
        <f>IF(COUNT(G16:H16,J16)&lt;3,"",AVERAGE(IF(G16&lt;=設定!$B$2,5,IF(G16&lt;=設定!$B$3,4,IF(G16&lt;=設定!$B$4,3,IF(G16&lt;=設定!$B$5,2,1)))),MIN(5,H16/2),6-J16))</f>
        <v/>
      </c>
      <c r="L16" s="6">
        <f>IF(I16="","",IF(I16&lt;=設定!$B$6,5,IF(I16&lt;=設定!$B$7,3,1)))</f>
        <v/>
      </c>
      <c r="M16" s="6">
        <f>IF(OR(K16="",L16=""),"",K16*設定!$B$8+L16*設定!$B$9+F16*設定!$B$10)</f>
        <v/>
      </c>
      <c r="N16" s="7">
        <f>IF(M16="","未調査",IF(M16&gt;=設定!$B$11,"有望","見送り"))</f>
        <v/>
      </c>
      <c r="O16" s="4" t="n"/>
    </row>
    <row r="17">
      <c r="A17" s="2" t="inlineStr">
        <is>
          <t>N16</t>
        </is>
      </c>
      <c r="B17" s="2" t="inlineStr">
        <is>
          <t>ADHD向け 5分で終わる</t>
        </is>
      </c>
      <c r="C17" s="2" t="inlineStr">
        <is>
          <t>短時間・低負荷</t>
        </is>
      </c>
      <c r="D17" s="2" t="inlineStr">
        <is>
          <t>1枚が小さい面の太線</t>
        </is>
      </c>
      <c r="E17" s="2" t="inlineStr">
        <is>
          <t>adhd coloring book for adults quick</t>
        </is>
      </c>
      <c r="F17" s="3" t="n">
        <v>1</v>
      </c>
      <c r="G17" s="4" t="n"/>
      <c r="H17" s="4" t="n"/>
      <c r="I17" s="5" t="n"/>
      <c r="J17" s="4" t="n"/>
      <c r="K17" s="6">
        <f>IF(COUNT(G17:H17,J17)&lt;3,"",AVERAGE(IF(G17&lt;=設定!$B$2,5,IF(G17&lt;=設定!$B$3,4,IF(G17&lt;=設定!$B$4,3,IF(G17&lt;=設定!$B$5,2,1)))),MIN(5,H17/2),6-J17))</f>
        <v/>
      </c>
      <c r="L17" s="6">
        <f>IF(I17="","",IF(I17&lt;=設定!$B$6,5,IF(I17&lt;=設定!$B$7,3,1)))</f>
        <v/>
      </c>
      <c r="M17" s="6">
        <f>IF(OR(K17="",L17=""),"",K17*設定!$B$8+L17*設定!$B$9+F17*設定!$B$10)</f>
        <v/>
      </c>
      <c r="N17" s="7">
        <f>IF(M17="","未調査",IF(M17&gt;=設定!$B$11,"有望","見送り"))</f>
        <v/>
      </c>
      <c r="O17" s="4" t="n"/>
    </row>
    <row r="18">
      <c r="A18" s="2" t="inlineStr">
        <is>
          <t>N17</t>
        </is>
      </c>
      <c r="B18" s="2" t="inlineStr">
        <is>
          <t>更年期の夜の不安</t>
        </is>
      </c>
      <c r="C18" s="2" t="inlineStr">
        <is>
          <t>状態特化</t>
        </is>
      </c>
      <c r="D18" s="2" t="inlineStr">
        <is>
          <t>夜の窓・植物・お茶</t>
        </is>
      </c>
      <c r="E18" s="2" t="inlineStr">
        <is>
          <t>menopause anxiety coloring book</t>
        </is>
      </c>
      <c r="F18" s="3" t="n">
        <v>2</v>
      </c>
      <c r="G18" s="4" t="n"/>
      <c r="H18" s="4" t="n"/>
      <c r="I18" s="5" t="n"/>
      <c r="J18" s="4" t="n"/>
      <c r="K18" s="6">
        <f>IF(COUNT(G18:H18,J18)&lt;3,"",AVERAGE(IF(G18&lt;=設定!$B$2,5,IF(G18&lt;=設定!$B$3,4,IF(G18&lt;=設定!$B$4,3,IF(G18&lt;=設定!$B$5,2,1)))),MIN(5,H18/2),6-J18))</f>
        <v/>
      </c>
      <c r="L18" s="6">
        <f>IF(I18="","",IF(I18&lt;=設定!$B$6,5,IF(I18&lt;=設定!$B$7,3,1)))</f>
        <v/>
      </c>
      <c r="M18" s="6">
        <f>IF(OR(K18="",L18=""),"",K18*設定!$B$8+L18*設定!$B$9+F18*設定!$B$10)</f>
        <v/>
      </c>
      <c r="N18" s="7">
        <f>IF(M18="","未調査",IF(M18&gt;=設定!$B$11,"有望","見送り"))</f>
        <v/>
      </c>
      <c r="O18" s="4" t="n"/>
    </row>
    <row r="19">
      <c r="A19" s="2" t="inlineStr">
        <is>
          <t>N18</t>
        </is>
      </c>
      <c r="B19" s="2" t="inlineStr">
        <is>
          <t>在宅ワーカーの休憩</t>
        </is>
      </c>
      <c r="C19" s="2" t="inlineStr">
        <is>
          <t>職種特化</t>
        </is>
      </c>
      <c r="D19" s="2" t="inlineStr">
        <is>
          <t>机・観葉植物・お茶</t>
        </is>
      </c>
      <c r="E19" s="2" t="inlineStr">
        <is>
          <t>work from home break coloring book</t>
        </is>
      </c>
      <c r="F19" s="3" t="n">
        <v>2</v>
      </c>
      <c r="G19" s="4" t="n"/>
      <c r="H19" s="4" t="n"/>
      <c r="I19" s="5" t="n"/>
      <c r="J19" s="4" t="n"/>
      <c r="K19" s="6">
        <f>IF(COUNT(G19:H19,J19)&lt;3,"",AVERAGE(IF(G19&lt;=設定!$B$2,5,IF(G19&lt;=設定!$B$3,4,IF(G19&lt;=設定!$B$4,3,IF(G19&lt;=設定!$B$5,2,1)))),MIN(5,H19/2),6-J19))</f>
        <v/>
      </c>
      <c r="L19" s="6">
        <f>IF(I19="","",IF(I19&lt;=設定!$B$6,5,IF(I19&lt;=設定!$B$7,3,1)))</f>
        <v/>
      </c>
      <c r="M19" s="6">
        <f>IF(OR(K19="",L19=""),"",K19*設定!$B$8+L19*設定!$B$9+F19*設定!$B$10)</f>
        <v/>
      </c>
      <c r="N19" s="7">
        <f>IF(M19="","未調査",IF(M19&gt;=設定!$B$11,"有望","見送り"))</f>
        <v/>
      </c>
      <c r="O19" s="4" t="n"/>
    </row>
    <row r="20">
      <c r="A20" s="2" t="inlineStr">
        <is>
          <t>N19</t>
        </is>
      </c>
      <c r="B20" s="2" t="inlineStr">
        <is>
          <t>招き猫・地域猫</t>
        </is>
      </c>
      <c r="C20" s="2" t="inlineStr">
        <is>
          <t>猫好き</t>
        </is>
      </c>
      <c r="D20" s="2" t="inlineStr">
        <is>
          <t>日本の猫の意匠</t>
        </is>
      </c>
      <c r="E20" s="2" t="inlineStr">
        <is>
          <t>maneki neko cat coloring book</t>
        </is>
      </c>
      <c r="F20" s="3" t="n">
        <v>4</v>
      </c>
      <c r="G20" s="4" t="n"/>
      <c r="H20" s="4" t="n"/>
      <c r="I20" s="5" t="n"/>
      <c r="J20" s="4" t="n"/>
      <c r="K20" s="6">
        <f>IF(COUNT(G20:H20,J20)&lt;3,"",AVERAGE(IF(G20&lt;=設定!$B$2,5,IF(G20&lt;=設定!$B$3,4,IF(G20&lt;=設定!$B$4,3,IF(G20&lt;=設定!$B$5,2,1)))),MIN(5,H20/2),6-J20))</f>
        <v/>
      </c>
      <c r="L20" s="6">
        <f>IF(I20="","",IF(I20&lt;=設定!$B$6,5,IF(I20&lt;=設定!$B$7,3,1)))</f>
        <v/>
      </c>
      <c r="M20" s="6">
        <f>IF(OR(K20="",L20=""),"",K20*設定!$B$8+L20*設定!$B$9+F20*設定!$B$10)</f>
        <v/>
      </c>
      <c r="N20" s="7">
        <f>IF(M20="","未調査",IF(M20&gt;=設定!$B$11,"有望","見送り"))</f>
        <v/>
      </c>
      <c r="O20" s="4" t="n"/>
    </row>
    <row r="21">
      <c r="A21" s="2" t="inlineStr">
        <is>
          <t>N20</t>
        </is>
      </c>
      <c r="B21" s="2" t="inlineStr">
        <is>
          <t>温泉旅館・湯けむり</t>
        </is>
      </c>
      <c r="C21" s="2" t="inlineStr">
        <is>
          <t>癒し・旅</t>
        </is>
      </c>
      <c r="D21" s="2" t="inlineStr">
        <is>
          <t>湯・浴衣・庭</t>
        </is>
      </c>
      <c r="E21" s="2" t="inlineStr">
        <is>
          <t>onsen ryokan coloring book</t>
        </is>
      </c>
      <c r="F21" s="3" t="n">
        <v>5</v>
      </c>
      <c r="G21" s="4" t="n"/>
      <c r="H21" s="4" t="n"/>
      <c r="I21" s="5" t="n"/>
      <c r="J21" s="4" t="n"/>
      <c r="K21" s="6">
        <f>IF(COUNT(G21:H21,J21)&lt;3,"",AVERAGE(IF(G21&lt;=設定!$B$2,5,IF(G21&lt;=設定!$B$3,4,IF(G21&lt;=設定!$B$4,3,IF(G21&lt;=設定!$B$5,2,1)))),MIN(5,H21/2),6-J21))</f>
        <v/>
      </c>
      <c r="L21" s="6">
        <f>IF(I21="","",IF(I21&lt;=設定!$B$6,5,IF(I21&lt;=設定!$B$7,3,1)))</f>
        <v/>
      </c>
      <c r="M21" s="6">
        <f>IF(OR(K21="",L21=""),"",K21*設定!$B$8+L21*設定!$B$9+F21*設定!$B$10)</f>
        <v/>
      </c>
      <c r="N21" s="7">
        <f>IF(M21="","未調査",IF(M21&gt;=設定!$B$11,"有望","見送り"))</f>
        <v/>
      </c>
      <c r="O21" s="4" t="n"/>
    </row>
    <row r="23">
      <c r="A23" s="8" t="inlineStr">
        <is>
          <t>注:F列(独自性)とE列(キーワード)はClaudeの仮説。黄色セルはAmazon.comで実測して記入。</t>
        </is>
      </c>
    </row>
  </sheetData>
  <conditionalFormatting sqref="N2:N21">
    <cfRule type="cellIs" priority="1" operator="equal" dxfId="0">
      <formula>"有望"</formula>
    </cfRule>
    <cfRule type="cellIs" priority="2" operator="equal" dxfId="1">
      <formula>"見送り"</formula>
    </cfRule>
  </conditionalFormatting>
  <dataValidations count="2">
    <dataValidation sqref="J2:J21" showDropDown="0" showInputMessage="0" showErrorMessage="0" allowBlank="0" type="whole" operator="between">
      <formula1>1</formula1>
      <formula2>5</formula2>
    </dataValidation>
    <dataValidation sqref="H2:H21" showDropDown="0" showInputMessage="0" showErrorMessage="0" allowBlank="0" type="whole" operator="between">
      <formula1>0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塗り絵ニッチ評価表 使い方</t>
        </is>
      </c>
    </row>
    <row r="2">
      <c r="A2" s="10" t="inlineStr"/>
    </row>
    <row r="3">
      <c r="A3" s="10" t="inlineStr">
        <is>
          <t>1. 「評価表」シートの黄色セルだけを埋める(Amazon.comで英語キーワードを検索し、上位10冊を見て記入)。</t>
        </is>
      </c>
    </row>
    <row r="4">
      <c r="A4" s="10" t="inlineStr">
        <is>
          <t>2. 灰色セルは自動計算。黄色以外は触らない。しきい値は「設定」シートで変更可。</t>
        </is>
      </c>
    </row>
    <row r="5">
      <c r="A5" s="10" t="inlineStr">
        <is>
          <t>3. 「独自性(日本人優位)」は私(Claude)の仮説スコア。あなたの感覚で書き換えてOK。</t>
        </is>
      </c>
    </row>
    <row r="6">
      <c r="A6" s="10" t="inlineStr">
        <is>
          <t>4. 英語キーワード案も仮説。Amazonの検索サジェストで実際に出る言い回しに直してから調べる。</t>
        </is>
      </c>
    </row>
    <row r="7">
      <c r="A7" s="10" t="inlineStr"/>
    </row>
    <row r="8">
      <c r="A8" s="11" t="inlineStr">
        <is>
          <t>【入力項目の定義】</t>
        </is>
      </c>
    </row>
    <row r="9">
      <c r="A9" s="10" t="inlineStr">
        <is>
          <t>A 上位10冊の平均レビュー数:検索結果の自然検索(Sponsored除く)上位10冊のレビュー数の平均</t>
        </is>
      </c>
    </row>
    <row r="10">
      <c r="A10" s="10" t="inlineStr">
        <is>
          <t>B レビュー100件未満の冊数:上位10冊のうち、レビューが100件未満の冊数(0〜10)</t>
        </is>
      </c>
    </row>
    <row r="11">
      <c r="A11" s="10" t="inlineStr">
        <is>
          <t>C 上位3冊の平均BSR:商品ページのBest Sellers Rank(Books全体)の上位3冊平均。小さいほど売れている</t>
        </is>
      </c>
    </row>
    <row r="12">
      <c r="A12" s="10" t="inlineStr">
        <is>
          <t>D 量産・汎用感(1〜5):上位が似た表紙・同じ「stress relief」題名・AI量産っぽい=5、個別性が高い=1</t>
        </is>
      </c>
    </row>
    <row r="13">
      <c r="A13" s="10" t="inlineStr"/>
    </row>
    <row r="14">
      <c r="A14" s="11" t="inlineStr">
        <is>
          <t>【記入例(実在データではなく書式の例)】</t>
        </is>
      </c>
    </row>
    <row r="15">
      <c r="A15" s="10" t="inlineStr">
        <is>
          <t>平均レビュー数=85 / 100件未満=6 / 上位3冊平均BSR=120000 / 量産感=4</t>
        </is>
      </c>
    </row>
    <row r="16">
      <c r="A16" s="10" t="inlineStr"/>
    </row>
    <row r="17">
      <c r="A17" s="10" t="inlineStr">
        <is>
          <t>【注意】需要は「上位3冊のBSR」で見る。BSRが極端に大きい(&gt;300,000)なら競合が弱いのではなく需要が小さい可能性が高い。</t>
        </is>
      </c>
    </row>
    <row r="18">
      <c r="A18" s="10" t="inlineStr">
        <is>
          <t>【注意】ここの数字は入力後の判断材料であり、売れる保証ではない。上位3件に入った本のテスト出版で最終確認する。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34" customWidth="1" min="3" max="3"/>
  </cols>
  <sheetData>
    <row r="1">
      <c r="A1" s="12" t="inlineStr">
        <is>
          <t>しきい値・重み(青字=変更可の前提)</t>
        </is>
      </c>
      <c r="B1" s="12" t="inlineStr">
        <is>
          <t>値</t>
        </is>
      </c>
      <c r="C1" s="12" t="inlineStr">
        <is>
          <t>メモ</t>
        </is>
      </c>
    </row>
    <row r="2">
      <c r="A2" s="10" t="inlineStr">
        <is>
          <t>平均レビュー数 5点の上限</t>
        </is>
      </c>
      <c r="B2" s="13" t="n">
        <v>50</v>
      </c>
      <c r="C2" s="10" t="inlineStr">
        <is>
          <t>以下なら競合が非常に弱い</t>
        </is>
      </c>
    </row>
    <row r="3">
      <c r="A3" s="10" t="inlineStr">
        <is>
          <t>平均レビュー数 4点の上限</t>
        </is>
      </c>
      <c r="B3" s="13" t="n">
        <v>150</v>
      </c>
      <c r="C3" s="10" t="inlineStr"/>
    </row>
    <row r="4">
      <c r="A4" s="10" t="inlineStr">
        <is>
          <t>平均レビュー数 3点の上限</t>
        </is>
      </c>
      <c r="B4" s="13" t="n">
        <v>400</v>
      </c>
      <c r="C4" s="10" t="inlineStr"/>
    </row>
    <row r="5">
      <c r="A5" s="10" t="inlineStr">
        <is>
          <t>平均レビュー数 2点の上限</t>
        </is>
      </c>
      <c r="B5" s="13" t="n">
        <v>1000</v>
      </c>
      <c r="C5" s="10" t="inlineStr">
        <is>
          <t>これ超は1点</t>
        </is>
      </c>
    </row>
    <row r="6">
      <c r="A6" s="10" t="inlineStr">
        <is>
          <t>BSR 5点の上限(需要あり)</t>
        </is>
      </c>
      <c r="B6" s="13" t="n">
        <v>100000</v>
      </c>
      <c r="C6" s="10" t="inlineStr">
        <is>
          <t>以下なら需要が確かにある</t>
        </is>
      </c>
    </row>
    <row r="7">
      <c r="A7" s="10" t="inlineStr">
        <is>
          <t>BSR 3点の上限</t>
        </is>
      </c>
      <c r="B7" s="13" t="n">
        <v>300000</v>
      </c>
      <c r="C7" s="10" t="inlineStr">
        <is>
          <t>これ超は需要小(1点)</t>
        </is>
      </c>
    </row>
    <row r="8">
      <c r="A8" s="10" t="inlineStr">
        <is>
          <t>重み:競合の弱さ</t>
        </is>
      </c>
      <c r="B8" s="13" t="n">
        <v>0.4</v>
      </c>
      <c r="C8" s="10" t="inlineStr">
        <is>
          <t>合計1.0にする</t>
        </is>
      </c>
    </row>
    <row r="9">
      <c r="A9" s="10" t="inlineStr">
        <is>
          <t>重み:需要</t>
        </is>
      </c>
      <c r="B9" s="13" t="n">
        <v>0.3</v>
      </c>
      <c r="C9" s="10" t="inlineStr"/>
    </row>
    <row r="10">
      <c r="A10" s="10" t="inlineStr">
        <is>
          <t>重み:独自性(日本人優位)</t>
        </is>
      </c>
      <c r="B10" s="13" t="n">
        <v>0.3</v>
      </c>
      <c r="C10" s="10" t="inlineStr"/>
    </row>
    <row r="11">
      <c r="A11" s="10" t="inlineStr">
        <is>
          <t>『有望』判定の総合点しきい値(5点満点)</t>
        </is>
      </c>
      <c r="B11" s="13" t="n">
        <v>3.5</v>
      </c>
      <c r="C11" s="10" t="inlineStr">
        <is>
          <t>以上で有望</t>
        </is>
      </c>
    </row>
    <row r="12">
      <c r="A12" s="11" t="n"/>
      <c r="B12" s="10">
        <f>B8+B9+B10</f>
        <v/>
      </c>
      <c r="C12" s="10" t="n"/>
    </row>
    <row r="13">
      <c r="A13" t="inlineStr">
        <is>
          <t>重み合計チェック</t>
        </is>
      </c>
      <c r="B13">
        <f>B8+B9+B10+0</f>
        <v/>
      </c>
      <c r="C13" t="inlineStr">
        <is>
          <t>1.0であること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2026-09-30T11:04:20Z</dcterms:created>
  <dcterms:modified xsi:type="dcterms:W3CDTF">2026-09-30T11:04:20Z</dcterms:modified>
</cp:coreProperties>
</file>